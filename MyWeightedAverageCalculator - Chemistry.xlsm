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8B13CD57-1E03-4F7D-9037-1BC00EB705AA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Calculator" sheetId="1" r:id="rId1"/>
    <sheet name="Data" sheetId="2" r:id="rId2"/>
  </sheets>
  <definedNames>
    <definedName name="WA">Calculator!$G$12:$H$17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I21" i="1" s="1"/>
  <c r="C21" i="1"/>
  <c r="J20" i="1"/>
  <c r="D20" i="1"/>
  <c r="I20" i="1" s="1"/>
  <c r="C20" i="1"/>
  <c r="D19" i="1"/>
  <c r="F19" i="1" s="1"/>
  <c r="C19" i="1"/>
  <c r="D18" i="1"/>
  <c r="I18" i="1" s="1"/>
  <c r="C18" i="1"/>
  <c r="D17" i="1"/>
  <c r="J17" i="1" s="1"/>
  <c r="C17" i="1"/>
  <c r="D16" i="1"/>
  <c r="F16" i="1" s="1"/>
  <c r="C16" i="1"/>
  <c r="D15" i="1"/>
  <c r="I15" i="1" s="1"/>
  <c r="C15" i="1"/>
  <c r="F14" i="1"/>
  <c r="D13" i="1"/>
  <c r="F13" i="1" s="1"/>
  <c r="C13" i="1"/>
  <c r="D12" i="1"/>
  <c r="I12" i="1" s="1"/>
  <c r="C12" i="1"/>
  <c r="D11" i="1"/>
  <c r="J11" i="1" s="1"/>
  <c r="C11" i="1"/>
  <c r="D10" i="1"/>
  <c r="I10" i="1" s="1"/>
  <c r="C10" i="1"/>
  <c r="D9" i="1"/>
  <c r="F9" i="1" s="1"/>
  <c r="C9" i="1"/>
  <c r="D8" i="1"/>
  <c r="I8" i="1" s="1"/>
  <c r="C8" i="1"/>
  <c r="D7" i="1"/>
  <c r="F7" i="1" s="1"/>
  <c r="C7" i="1"/>
  <c r="J13" i="1" l="1"/>
  <c r="J19" i="1"/>
  <c r="J21" i="1"/>
  <c r="I7" i="1"/>
  <c r="I13" i="1"/>
  <c r="I19" i="1"/>
  <c r="I9" i="1"/>
  <c r="I17" i="1"/>
  <c r="I16" i="1"/>
  <c r="I11" i="1"/>
  <c r="J12" i="1"/>
  <c r="J7" i="1"/>
  <c r="J16" i="1"/>
  <c r="J8" i="1"/>
  <c r="J10" i="1"/>
  <c r="J18" i="1"/>
  <c r="F8" i="1"/>
  <c r="F11" i="1"/>
  <c r="F10" i="1"/>
  <c r="J15" i="1"/>
  <c r="F17" i="1"/>
  <c r="F20" i="1"/>
  <c r="F21" i="1"/>
  <c r="J9" i="1"/>
  <c r="F12" i="1"/>
  <c r="F15" i="1"/>
  <c r="F18" i="1"/>
  <c r="G9" i="1" l="1"/>
  <c r="G17" i="1"/>
  <c r="C3" i="1"/>
  <c r="D3" i="1" s="1"/>
</calcChain>
</file>

<file path=xl/sharedStrings.xml><?xml version="1.0" encoding="utf-8"?>
<sst xmlns="http://schemas.openxmlformats.org/spreadsheetml/2006/main" count="140" uniqueCount="137">
  <si>
    <t>OVERALL WEIGHTED AVERAGE</t>
  </si>
  <si>
    <t xml:space="preserve">Course Code </t>
  </si>
  <si>
    <t>Course Title</t>
  </si>
  <si>
    <t>Course Unit</t>
  </si>
  <si>
    <t>Enter Score</t>
  </si>
  <si>
    <t>Grade</t>
  </si>
  <si>
    <t>HARMATTAN SEMESTER</t>
  </si>
  <si>
    <t>ProdOfWeights</t>
  </si>
  <si>
    <t>CHM801</t>
  </si>
  <si>
    <t>W.A. Harmattan</t>
  </si>
  <si>
    <t>CHM803</t>
  </si>
  <si>
    <t>CHM814</t>
  </si>
  <si>
    <t>W.A. Rain</t>
  </si>
  <si>
    <t>What is weighted average?</t>
  </si>
  <si>
    <t xml:space="preserve"> Your Weighted Average Score is determined by considering the results obtained in all taught courses completed during your program, with each course being graded on a scale of 0 to 100. This calculation takes into account individual scores against their respective course weights(units).</t>
  </si>
  <si>
    <t>Course Code</t>
  </si>
  <si>
    <t>HARMATTAN COURSES</t>
  </si>
  <si>
    <t>Separation Techniques and Spectroscopy</t>
  </si>
  <si>
    <t>Advanced Inorganic Chemistry</t>
  </si>
  <si>
    <t>CHM805</t>
  </si>
  <si>
    <t>Reaction Kinetics and Mechanisms</t>
  </si>
  <si>
    <t>CHM807</t>
  </si>
  <si>
    <t>Theoretical Aspect of Physical Methods of Structure Determination</t>
  </si>
  <si>
    <t>CHM809</t>
  </si>
  <si>
    <t>Application of Quantum Mechanics to Molecular Structure Determination</t>
  </si>
  <si>
    <t>CHM811</t>
  </si>
  <si>
    <t>Heterocyclic Nitrogen Chemistry</t>
  </si>
  <si>
    <t>CHM813</t>
  </si>
  <si>
    <t>Photochemistry</t>
  </si>
  <si>
    <t>CHM815</t>
  </si>
  <si>
    <t>Fibre and Textile Chemistry</t>
  </si>
  <si>
    <t/>
  </si>
  <si>
    <t>CHM817</t>
  </si>
  <si>
    <t>Chemistry of Carbohydrates, Proteins and Fats</t>
  </si>
  <si>
    <t>CHM819</t>
  </si>
  <si>
    <t>Chemistry of Nucleic Acids and Vitamins</t>
  </si>
  <si>
    <t>CHM821</t>
  </si>
  <si>
    <t>Chemistry of Organosulphur and Organophosphorus Compounds</t>
  </si>
  <si>
    <t>CHM823</t>
  </si>
  <si>
    <t>Topics in Co-ordination and Bio-Inorganic Chemistry</t>
  </si>
  <si>
    <t>CHM825</t>
  </si>
  <si>
    <t>Advanced Statistical Thermodynamics</t>
  </si>
  <si>
    <t>CHM827</t>
  </si>
  <si>
    <t>Green Chemistry</t>
  </si>
  <si>
    <t>CHM831</t>
  </si>
  <si>
    <t>Advanced Analytical Spectroscopy I</t>
  </si>
  <si>
    <t>CHM833</t>
  </si>
  <si>
    <t>Advanced Petroleum Chemistry I</t>
  </si>
  <si>
    <t>CHM835</t>
  </si>
  <si>
    <t>Organic Geochemistry I</t>
  </si>
  <si>
    <t>CHM839</t>
  </si>
  <si>
    <t>Separation Techniques and Spectroscopy II</t>
  </si>
  <si>
    <t>CHM841</t>
  </si>
  <si>
    <t>Advanced Reaction Kinetics</t>
  </si>
  <si>
    <t>CHM843</t>
  </si>
  <si>
    <t>Solid State Chemistry</t>
  </si>
  <si>
    <t>CHM845</t>
  </si>
  <si>
    <t>Physical Organic Chemistry</t>
  </si>
  <si>
    <t>CHM847</t>
  </si>
  <si>
    <t>Biophysical Chemistry</t>
  </si>
  <si>
    <t>CHM849</t>
  </si>
  <si>
    <t>Computational Chemistry</t>
  </si>
  <si>
    <t>CHM851</t>
  </si>
  <si>
    <t>Methods of Theoretical Chemistry</t>
  </si>
  <si>
    <t>CHM853</t>
  </si>
  <si>
    <t>Organic Geochemistry II</t>
  </si>
  <si>
    <t>CHM855</t>
  </si>
  <si>
    <t>Advanced Analytical Spectroscopy II</t>
  </si>
  <si>
    <t>CHM857</t>
  </si>
  <si>
    <t>Thermodynamics of Solution and Related Equilibrium Processes</t>
  </si>
  <si>
    <t>CHM859</t>
  </si>
  <si>
    <t>Process Instrumentation and Sample Handling</t>
  </si>
  <si>
    <t>CHM861</t>
  </si>
  <si>
    <t>Advanced Petroleum Chemistry II</t>
  </si>
  <si>
    <t>RAIN SEMESTER COURSES</t>
  </si>
  <si>
    <t>CHM802</t>
  </si>
  <si>
    <t>Experimental Methods in Physical Chemistry</t>
  </si>
  <si>
    <t>CHM804</t>
  </si>
  <si>
    <t>Organic Spectroscopy</t>
  </si>
  <si>
    <t>CHM806</t>
  </si>
  <si>
    <t>Modern Techniques in Inorganic Chemistry</t>
  </si>
  <si>
    <t>CHM808</t>
  </si>
  <si>
    <t>Advanced Thermodynamics</t>
  </si>
  <si>
    <t>CHM810</t>
  </si>
  <si>
    <t>Chemistry of Natural Products</t>
  </si>
  <si>
    <t>CHM812</t>
  </si>
  <si>
    <t>Organic Reactions and Synthesis</t>
  </si>
  <si>
    <t>Synthetic Polymers</t>
  </si>
  <si>
    <t>CHM816</t>
  </si>
  <si>
    <t>Colour Chemistry</t>
  </si>
  <si>
    <t>CHM818</t>
  </si>
  <si>
    <t>Food Chemistry</t>
  </si>
  <si>
    <t>CHM820</t>
  </si>
  <si>
    <t>Seminar: Seminar on Research Topic of the candidate</t>
  </si>
  <si>
    <t>CHM822</t>
  </si>
  <si>
    <t>Environmental Chemistry and Toxicology</t>
  </si>
  <si>
    <t>CHM824</t>
  </si>
  <si>
    <t>Entrepreneurship for Chemists</t>
  </si>
  <si>
    <t>CHM828</t>
  </si>
  <si>
    <t>Advanced Colloid and Surface Chemistry</t>
  </si>
  <si>
    <t>CHM830</t>
  </si>
  <si>
    <t>Statistics and Chemometrics for Analytical Chemistry</t>
  </si>
  <si>
    <t>CHM832</t>
  </si>
  <si>
    <t>Thermal and Radiochemical Analysis I</t>
  </si>
  <si>
    <t>CHM834</t>
  </si>
  <si>
    <t>Electroanalytical Chemistry I</t>
  </si>
  <si>
    <t>CHM836</t>
  </si>
  <si>
    <t>Advances in Nano Chemistry I</t>
  </si>
  <si>
    <t>CHM838</t>
  </si>
  <si>
    <t>Chemical Fate and Transport in the Environment I</t>
  </si>
  <si>
    <t>CHM840</t>
  </si>
  <si>
    <t>Advanced Natural Products Chemistry</t>
  </si>
  <si>
    <t>CHM842</t>
  </si>
  <si>
    <t>Bio-inorganic Chemistry</t>
  </si>
  <si>
    <t>CHM844</t>
  </si>
  <si>
    <t>Environmental Chemistry and Toxicology II</t>
  </si>
  <si>
    <t>CHM846</t>
  </si>
  <si>
    <t>Organic Reactions Mechanisms</t>
  </si>
  <si>
    <t>CHM848</t>
  </si>
  <si>
    <t>Electroanalytical Chemistry II</t>
  </si>
  <si>
    <t>CHM850</t>
  </si>
  <si>
    <t>Advanced Natural Macromolecules</t>
  </si>
  <si>
    <t>CHM852</t>
  </si>
  <si>
    <t>Advanced Synthetic Macromolecules</t>
  </si>
  <si>
    <t>CHM854</t>
  </si>
  <si>
    <t>Statistics and Chemometrics for Analytical Chemistry II</t>
  </si>
  <si>
    <t>CHM856</t>
  </si>
  <si>
    <t>Thermal and Radiochemical Analysis II</t>
  </si>
  <si>
    <t>CHM858</t>
  </si>
  <si>
    <t>Advances in Nano Chemistry II</t>
  </si>
  <si>
    <t>CHM860</t>
  </si>
  <si>
    <t>Chemical Fate and Transport in the Environment II</t>
  </si>
  <si>
    <t>CHM862</t>
  </si>
  <si>
    <t>Applications of Analytical Chemistry</t>
  </si>
  <si>
    <t>RAIN SEMESTER</t>
  </si>
  <si>
    <t>DEPARTMENT OF CHEMISTRY, FACULTY OF SCIENCE, OBAFEMI AWOLOWO UNIVERSITY ILE-IFE</t>
  </si>
  <si>
    <r>
      <t xml:space="preserve">Click the cells under </t>
    </r>
    <r>
      <rPr>
        <b/>
        <sz val="9"/>
        <color theme="9" tint="-0.499984740745262"/>
        <rFont val="Arial"/>
        <family val="2"/>
        <scheme val="minor"/>
      </rPr>
      <t>Course Code</t>
    </r>
    <r>
      <rPr>
        <b/>
        <sz val="9"/>
        <color rgb="FF000000"/>
        <rFont val="Arial"/>
        <family val="2"/>
        <scheme val="minor"/>
      </rPr>
      <t xml:space="preserve"> to access the dropdown list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</si>
</sst>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15"/>
      <color theme="1"/>
      <name val="Arial"/>
      <scheme val="minor"/>
    </font>
    <font>
      <b/>
      <sz val="15"/>
      <color rgb="FF000000"/>
      <name val="&quot;Google Sans Mono&quot;"/>
    </font>
    <font>
      <b/>
      <sz val="16"/>
      <color theme="1"/>
      <name val="Arial"/>
      <scheme val="minor"/>
    </font>
    <font>
      <sz val="10"/>
      <color theme="1"/>
      <name val="Georgia"/>
    </font>
    <font>
      <b/>
      <sz val="10"/>
      <color theme="1"/>
      <name val="Georgia"/>
    </font>
    <font>
      <sz val="10"/>
      <color theme="1"/>
      <name val="Roboto"/>
    </font>
    <font>
      <b/>
      <sz val="10"/>
      <color theme="1"/>
      <name val="Roboto"/>
    </font>
    <font>
      <b/>
      <sz val="12"/>
      <color theme="1"/>
      <name val="Roboto"/>
    </font>
    <font>
      <b/>
      <sz val="9"/>
      <color rgb="FF000000"/>
      <name val="Roboto"/>
    </font>
    <font>
      <b/>
      <sz val="12"/>
      <color theme="1"/>
      <name val="Arial"/>
      <scheme val="minor"/>
    </font>
    <font>
      <sz val="22"/>
      <color theme="1"/>
      <name val="Arial"/>
      <scheme val="minor"/>
    </font>
    <font>
      <b/>
      <sz val="12"/>
      <color rgb="FF434343"/>
      <name val="Times New Roman"/>
    </font>
    <font>
      <b/>
      <sz val="10"/>
      <color rgb="FF000000"/>
      <name val="Roboto"/>
    </font>
    <font>
      <b/>
      <sz val="9"/>
      <color rgb="FF000000"/>
      <name val="&quot;Google Sans Mono&quot;"/>
    </font>
    <font>
      <b/>
      <sz val="10"/>
      <color theme="1"/>
      <name val="Arial"/>
      <scheme val="minor"/>
    </font>
    <font>
      <b/>
      <sz val="10"/>
      <color rgb="FFF3F3F3"/>
      <name val="Arial"/>
      <scheme val="minor"/>
    </font>
    <font>
      <b/>
      <sz val="10"/>
      <color rgb="FFFFFFFF"/>
      <name val="Arial"/>
      <scheme val="minor"/>
    </font>
    <font>
      <b/>
      <sz val="15"/>
      <name val="&quot;Google Sans Mono&quot;"/>
    </font>
    <font>
      <sz val="10"/>
      <name val="Arial"/>
      <scheme val="minor"/>
    </font>
    <font>
      <sz val="10"/>
      <color rgb="FF002060"/>
      <name val="Arial"/>
      <family val="2"/>
      <scheme val="minor"/>
    </font>
    <font>
      <sz val="10"/>
      <color theme="1"/>
      <name val="Georgia"/>
      <family val="1"/>
    </font>
    <font>
      <b/>
      <sz val="11"/>
      <color theme="0"/>
      <name val="Times New Roman"/>
      <family val="1"/>
    </font>
    <font>
      <sz val="11"/>
      <color rgb="FF000000"/>
      <name val="Times New Roman"/>
      <family val="1"/>
    </font>
    <font>
      <b/>
      <sz val="12"/>
      <color rgb="FF000000"/>
      <name val="Roboto"/>
    </font>
    <font>
      <b/>
      <sz val="9"/>
      <color rgb="FF000000"/>
      <name val="Arial"/>
      <family val="2"/>
      <scheme val="minor"/>
    </font>
    <font>
      <b/>
      <sz val="9"/>
      <color theme="9" tint="-0.499984740745262"/>
      <name val="Arial"/>
      <family val="2"/>
      <scheme val="minor"/>
    </font>
    <font>
      <sz val="10"/>
      <color theme="0"/>
      <name val="Arial"/>
      <family val="2"/>
      <scheme val="minor"/>
    </font>
    <font>
      <b/>
      <sz val="53"/>
      <color theme="0"/>
      <name val="Times New Roman"/>
      <family val="1"/>
    </font>
    <font>
      <b/>
      <sz val="10"/>
      <color theme="0"/>
      <name val="Times New Roman"/>
      <family val="1"/>
    </font>
    <font>
      <b/>
      <sz val="12"/>
      <color theme="0"/>
      <name val="Arial"/>
      <family val="2"/>
      <scheme val="minor"/>
    </font>
    <font>
      <sz val="22"/>
      <color theme="0"/>
      <name val="Arial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34F5C"/>
        <bgColor rgb="FF134F5C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rgb="FF76A5AF"/>
        <bgColor rgb="FF76A5AF"/>
      </patternFill>
    </fill>
    <fill>
      <patternFill patternType="solid">
        <fgColor rgb="FFB4A7D6"/>
        <bgColor rgb="FFB4A7D6"/>
      </patternFill>
    </fill>
    <fill>
      <patternFill patternType="solid">
        <fgColor rgb="FFC27BA0"/>
        <bgColor rgb="FFC27BA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rgb="FF134F5C"/>
      </patternFill>
    </fill>
    <fill>
      <patternFill patternType="solid">
        <fgColor theme="9" tint="-0.499984740745262"/>
        <bgColor rgb="FF134F5C"/>
      </patternFill>
    </fill>
    <fill>
      <patternFill patternType="solid">
        <fgColor theme="0" tint="-4.9989318521683403E-2"/>
        <bgColor rgb="FFD0E0E3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2" fontId="3" fillId="3" borderId="0" xfId="0" applyNumberFormat="1" applyFont="1" applyFill="1" applyAlignment="1">
      <alignment horizontal="center" vertical="center"/>
    </xf>
    <xf numFmtId="0" fontId="1" fillId="0" borderId="0" xfId="0" applyFont="1"/>
    <xf numFmtId="0" fontId="1" fillId="0" borderId="6" xfId="0" applyFont="1" applyBorder="1"/>
    <xf numFmtId="0" fontId="11" fillId="0" borderId="0" xfId="0" applyFont="1" applyAlignment="1">
      <alignment horizontal="center"/>
    </xf>
    <xf numFmtId="0" fontId="16" fillId="0" borderId="0" xfId="0" applyFont="1"/>
    <xf numFmtId="0" fontId="17" fillId="6" borderId="0" xfId="0" applyFont="1" applyFill="1" applyAlignment="1">
      <alignment horizontal="center"/>
    </xf>
    <xf numFmtId="0" fontId="1" fillId="0" borderId="4" xfId="0" applyFont="1" applyBorder="1"/>
    <xf numFmtId="0" fontId="1" fillId="0" borderId="2" xfId="0" applyFont="1" applyBorder="1"/>
    <xf numFmtId="0" fontId="1" fillId="0" borderId="5" xfId="0" applyFont="1" applyBorder="1"/>
    <xf numFmtId="0" fontId="1" fillId="0" borderId="7" xfId="0" applyFont="1" applyBorder="1"/>
    <xf numFmtId="2" fontId="1" fillId="0" borderId="0" xfId="0" applyNumberFormat="1" applyFont="1"/>
    <xf numFmtId="0" fontId="1" fillId="0" borderId="1" xfId="0" applyFont="1" applyBorder="1"/>
    <xf numFmtId="0" fontId="1" fillId="0" borderId="10" xfId="0" applyFont="1" applyBorder="1"/>
    <xf numFmtId="0" fontId="1" fillId="0" borderId="9" xfId="0" applyFont="1" applyBorder="1"/>
    <xf numFmtId="0" fontId="18" fillId="7" borderId="0" xfId="0" applyFont="1" applyFill="1" applyAlignment="1">
      <alignment horizontal="center"/>
    </xf>
    <xf numFmtId="0" fontId="1" fillId="9" borderId="0" xfId="0" applyFont="1" applyFill="1"/>
    <xf numFmtId="0" fontId="20" fillId="0" borderId="0" xfId="0" applyFont="1"/>
    <xf numFmtId="2" fontId="12" fillId="4" borderId="0" xfId="0" applyNumberFormat="1" applyFont="1" applyFill="1" applyAlignment="1">
      <alignment horizontal="center" vertical="center"/>
    </xf>
    <xf numFmtId="2" fontId="13" fillId="4" borderId="0" xfId="0" applyNumberFormat="1" applyFont="1" applyFill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center" vertical="center" wrapText="1"/>
      <protection locked="0"/>
    </xf>
    <xf numFmtId="0" fontId="7" fillId="0" borderId="8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center" wrapText="1"/>
      <protection locked="0"/>
    </xf>
    <xf numFmtId="0" fontId="7" fillId="0" borderId="8" xfId="0" applyFont="1" applyBorder="1" applyAlignment="1" applyProtection="1">
      <alignment horizontal="center" wrapText="1"/>
      <protection locked="0"/>
    </xf>
    <xf numFmtId="0" fontId="8" fillId="0" borderId="11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0" fillId="8" borderId="0" xfId="0" applyFill="1"/>
    <xf numFmtId="0" fontId="20" fillId="8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0" fillId="2" borderId="0" xfId="0" applyFont="1" applyFill="1"/>
    <xf numFmtId="0" fontId="21" fillId="10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3" borderId="0" xfId="0" applyFont="1" applyFill="1"/>
    <xf numFmtId="0" fontId="5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wrapText="1"/>
    </xf>
    <xf numFmtId="0" fontId="7" fillId="4" borderId="0" xfId="0" applyFont="1" applyFill="1"/>
    <xf numFmtId="0" fontId="7" fillId="4" borderId="7" xfId="0" applyFont="1" applyFill="1" applyBorder="1"/>
    <xf numFmtId="0" fontId="20" fillId="3" borderId="0" xfId="0" applyFont="1" applyFill="1"/>
    <xf numFmtId="0" fontId="1" fillId="3" borderId="0" xfId="0" applyFont="1" applyFill="1" applyAlignment="1">
      <alignment horizontal="right"/>
    </xf>
    <xf numFmtId="0" fontId="5" fillId="3" borderId="0" xfId="0" applyFont="1" applyFill="1" applyAlignment="1">
      <alignment horizontal="center" vertical="top" wrapText="1"/>
    </xf>
    <xf numFmtId="0" fontId="8" fillId="11" borderId="0" xfId="0" applyFont="1" applyFill="1" applyAlignment="1">
      <alignment horizontal="center" vertical="center" wrapText="1"/>
    </xf>
    <xf numFmtId="0" fontId="10" fillId="11" borderId="0" xfId="0" applyFont="1" applyFill="1" applyAlignment="1">
      <alignment horizontal="center" vertical="center"/>
    </xf>
    <xf numFmtId="0" fontId="8" fillId="11" borderId="6" xfId="0" applyFont="1" applyFill="1" applyBorder="1" applyAlignment="1">
      <alignment horizontal="center" vertical="center" wrapText="1"/>
    </xf>
    <xf numFmtId="0" fontId="8" fillId="11" borderId="9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8" fillId="0" borderId="0" xfId="0" applyFont="1"/>
    <xf numFmtId="0" fontId="28" fillId="0" borderId="0" xfId="0" applyFont="1" applyAlignment="1">
      <alignment horizontal="center"/>
    </xf>
    <xf numFmtId="2" fontId="29" fillId="4" borderId="0" xfId="0" applyNumberFormat="1" applyFont="1" applyFill="1" applyAlignment="1">
      <alignment horizontal="left" vertical="center"/>
    </xf>
    <xf numFmtId="1" fontId="30" fillId="4" borderId="0" xfId="0" applyNumberFormat="1" applyFont="1" applyFill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4" fillId="11" borderId="1" xfId="0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20" fillId="12" borderId="0" xfId="0" applyFont="1" applyFill="1"/>
    <xf numFmtId="0" fontId="23" fillId="8" borderId="0" xfId="0" applyFont="1" applyFill="1" applyAlignment="1">
      <alignment horizontal="center" vertical="center" wrapText="1"/>
    </xf>
    <xf numFmtId="0" fontId="24" fillId="8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0" fillId="0" borderId="0" xfId="0"/>
    <xf numFmtId="0" fontId="22" fillId="3" borderId="0" xfId="0" applyFont="1" applyFill="1" applyAlignment="1">
      <alignment horizontal="center" vertical="top" wrapText="1"/>
    </xf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9" fillId="0" borderId="7" xfId="0" applyFont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31" fillId="2" borderId="0" xfId="0" applyFont="1" applyFill="1" applyAlignment="1">
      <alignment horizontal="center"/>
    </xf>
    <xf numFmtId="0" fontId="28" fillId="0" borderId="0" xfId="0" applyFont="1"/>
    <xf numFmtId="2" fontId="32" fillId="5" borderId="0" xfId="0" applyNumberFormat="1" applyFont="1" applyFill="1" applyAlignment="1">
      <alignment horizontal="center" vertical="center"/>
    </xf>
    <xf numFmtId="0" fontId="25" fillId="0" borderId="0" xfId="0" applyFont="1" applyAlignment="1">
      <alignment horizontal="center"/>
    </xf>
    <xf numFmtId="0" fontId="9" fillId="0" borderId="0" xfId="0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228601</xdr:colOff>
      <xdr:row>10</xdr:row>
      <xdr:rowOff>95252</xdr:rowOff>
    </xdr:from>
    <xdr:ext cx="1047749" cy="409574"/>
    <xdr:sp macro="[0]!ClearCellContentsR1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8601" y="2962277"/>
          <a:ext cx="1047749" cy="409574"/>
        </a:xfrm>
        <a:prstGeom prst="hexagon">
          <a:avLst>
            <a:gd name="adj" fmla="val 25000"/>
            <a:gd name="vf" fmla="val 115470"/>
          </a:avLst>
        </a:prstGeom>
        <a:solidFill>
          <a:srgbClr val="134F5C"/>
        </a:solidFill>
        <a:ln w="9525" cap="flat" cmpd="sng">
          <a:solidFill>
            <a:srgbClr val="FFFFF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1">
              <a:solidFill>
                <a:srgbClr val="FFFFFF"/>
              </a:solidFill>
            </a:rPr>
            <a:t>RESET</a:t>
          </a:r>
          <a:endParaRPr sz="1200" b="1">
            <a:solidFill>
              <a:srgbClr val="FFFFFF"/>
            </a:solidFill>
          </a:endParaRPr>
        </a:p>
      </xdr:txBody>
    </xdr:sp>
    <xdr:clientData fLocksWithSheet="0"/>
  </xdr:oneCellAnchor>
  <xdr:oneCellAnchor>
    <xdr:from>
      <xdr:col>0</xdr:col>
      <xdr:colOff>704850</xdr:colOff>
      <xdr:row>22</xdr:row>
      <xdr:rowOff>161925</xdr:rowOff>
    </xdr:from>
    <xdr:ext cx="285750" cy="2857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4850" y="6772275"/>
          <a:ext cx="285750" cy="285750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847725</xdr:colOff>
      <xdr:row>22</xdr:row>
      <xdr:rowOff>76200</xdr:rowOff>
    </xdr:from>
    <xdr:ext cx="657225" cy="609599"/>
    <xdr:pic>
      <xdr:nvPicPr>
        <xdr:cNvPr id="4" name="image2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772525" y="6076950"/>
          <a:ext cx="657225" cy="609599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L26"/>
  <sheetViews>
    <sheetView showGridLines="0" tabSelected="1" topLeftCell="A5" workbookViewId="0">
      <selection activeCell="B16" sqref="B16"/>
    </sheetView>
  </sheetViews>
  <sheetFormatPr defaultColWidth="0" defaultRowHeight="0" customHeight="1" zeroHeight="1"/>
  <cols>
    <col min="1" max="1" width="21.42578125" customWidth="1"/>
    <col min="2" max="2" width="13" customWidth="1"/>
    <col min="3" max="3" width="42.85546875" customWidth="1"/>
    <col min="4" max="4" width="31.7109375" customWidth="1"/>
    <col min="5" max="5" width="14.7109375" customWidth="1"/>
    <col min="6" max="6" width="16.28515625" customWidth="1"/>
    <col min="7" max="8" width="12.5703125" customWidth="1"/>
    <col min="9" max="9" width="15.28515625" style="17" customWidth="1"/>
    <col min="10" max="11" width="12.5703125" style="17" customWidth="1"/>
    <col min="12" max="12" width="0" hidden="1" customWidth="1"/>
    <col min="13" max="16384" width="12.5703125" hidden="1"/>
  </cols>
  <sheetData>
    <row r="1" spans="1:11" s="32" customFormat="1" ht="34.5" customHeight="1">
      <c r="C1" s="65" t="s">
        <v>135</v>
      </c>
      <c r="D1" s="66"/>
      <c r="E1" s="66"/>
      <c r="I1" s="33"/>
      <c r="J1" s="33"/>
      <c r="K1" s="33"/>
    </row>
    <row r="2" spans="1:11" ht="19.5">
      <c r="A2" s="16"/>
      <c r="B2" s="34"/>
      <c r="C2" s="71" t="s">
        <v>0</v>
      </c>
      <c r="D2" s="68"/>
      <c r="E2" s="68"/>
      <c r="F2" s="35"/>
      <c r="G2" s="35"/>
      <c r="H2" s="35"/>
      <c r="I2" s="36"/>
      <c r="J2" s="36"/>
      <c r="K2" s="64"/>
    </row>
    <row r="3" spans="1:11" ht="20.25">
      <c r="A3" s="16"/>
      <c r="B3" s="37"/>
      <c r="C3" s="38" t="str">
        <f>IFERROR(SUM(I7:I21)/SUM(J7:J21), "")</f>
        <v/>
      </c>
      <c r="D3" s="39" t="str">
        <f>IF(C3="", "Enter Your Scores..", IF(C3&gt;= 70, "DISTINCTION", IF(C3&gt;= 60,"PhD Grade", IF(C3&gt;= 50, "Pass (M.phil Grade)", "F"))))</f>
        <v>Enter Your Scores..</v>
      </c>
      <c r="E3" s="40"/>
      <c r="F3" s="35"/>
      <c r="G3" s="35"/>
      <c r="H3" s="35"/>
      <c r="I3" s="36"/>
      <c r="J3" s="36"/>
    </row>
    <row r="4" spans="1:11" ht="12.75">
      <c r="A4" s="41"/>
      <c r="B4" s="42"/>
      <c r="C4" s="42"/>
      <c r="D4" s="42"/>
      <c r="E4" s="42"/>
      <c r="F4" s="42"/>
    </row>
    <row r="5" spans="1:11" s="24" customFormat="1" ht="12.75">
      <c r="A5" s="43"/>
      <c r="B5" s="21" t="s">
        <v>1</v>
      </c>
      <c r="C5" s="22" t="s">
        <v>2</v>
      </c>
      <c r="D5" s="22" t="s">
        <v>3</v>
      </c>
      <c r="E5" s="22" t="s">
        <v>4</v>
      </c>
      <c r="F5" s="23" t="s">
        <v>5</v>
      </c>
      <c r="G5"/>
      <c r="H5"/>
      <c r="I5" s="17"/>
      <c r="J5" s="17"/>
      <c r="K5" s="17"/>
    </row>
    <row r="6" spans="1:11" s="24" customFormat="1" ht="12" customHeight="1">
      <c r="A6" s="3"/>
      <c r="B6" s="72" t="s">
        <v>6</v>
      </c>
      <c r="C6" s="73"/>
      <c r="D6" s="73"/>
      <c r="E6" s="73"/>
      <c r="F6" s="25"/>
      <c r="G6"/>
      <c r="H6"/>
      <c r="I6" s="56" t="s">
        <v>7</v>
      </c>
      <c r="J6" s="56"/>
      <c r="K6" s="56"/>
    </row>
    <row r="7" spans="1:11" s="24" customFormat="1" ht="45.75" customHeight="1">
      <c r="A7" s="55" t="s">
        <v>136</v>
      </c>
      <c r="B7" s="26"/>
      <c r="C7" s="51" t="str">
        <f>IFERROR(VLOOKUP(B7,Data!$A$4:$C$33,2,FALSE),"")</f>
        <v/>
      </c>
      <c r="D7" s="52" t="str">
        <f>IFERROR(VLOOKUP(B7,Data!$A$4:$C$33,3,FALSE),"")</f>
        <v/>
      </c>
      <c r="E7" s="27"/>
      <c r="F7" s="53" t="str">
        <f t="shared" ref="F7:F21" si="0">IF(OR(ISBLANK(E7), ISBLANK(D7)),"",IF(E7&gt;=70, "A", IF(E7&gt;=60, "B", IF(E7&gt;=50, "C", IF(E7&lt;50, "F", " ")))))</f>
        <v/>
      </c>
      <c r="G7"/>
      <c r="H7"/>
      <c r="I7" s="57" t="str">
        <f t="shared" ref="I7:I11" si="1">IF(OR(D7="", E7=""),"", D7*E7)</f>
        <v/>
      </c>
      <c r="J7" s="57" t="str">
        <f t="shared" ref="J7:J13" si="2">IF(ISBLANK(E7),"",D7)</f>
        <v/>
      </c>
      <c r="K7" s="56"/>
    </row>
    <row r="8" spans="1:11" s="24" customFormat="1" ht="24" customHeight="1">
      <c r="A8" s="44"/>
      <c r="B8" s="26"/>
      <c r="C8" s="51" t="str">
        <f>IFERROR(VLOOKUP(B8,Data!$A$4:$C$33,2,FALSE),"")</f>
        <v/>
      </c>
      <c r="D8" s="52" t="str">
        <f>IFERROR(VLOOKUP(B8,Data!$A$4:$C$33,3,FALSE),"")</f>
        <v/>
      </c>
      <c r="E8" s="27"/>
      <c r="F8" s="53" t="str">
        <f t="shared" si="0"/>
        <v/>
      </c>
      <c r="G8" s="74" t="s">
        <v>9</v>
      </c>
      <c r="H8" s="75"/>
      <c r="I8" s="57" t="str">
        <f t="shared" si="1"/>
        <v/>
      </c>
      <c r="J8" s="57" t="str">
        <f t="shared" si="2"/>
        <v/>
      </c>
      <c r="K8" s="56"/>
    </row>
    <row r="9" spans="1:11" s="24" customFormat="1" ht="25.5" customHeight="1">
      <c r="A9" s="44"/>
      <c r="B9" s="26"/>
      <c r="C9" s="51" t="str">
        <f>IFERROR(VLOOKUP(B9,Data!$A$4:$C$33,2,FALSE),"")</f>
        <v/>
      </c>
      <c r="D9" s="52" t="str">
        <f>IFERROR(VLOOKUP(B9,Data!$A$4:$C$33,3,FALSE),"")</f>
        <v/>
      </c>
      <c r="E9" s="27"/>
      <c r="F9" s="53" t="str">
        <f t="shared" si="0"/>
        <v/>
      </c>
      <c r="G9" s="76" t="str">
        <f>IFERROR(SUM(I7:I13)/SUM(J7:J13), "")</f>
        <v/>
      </c>
      <c r="H9" s="75"/>
      <c r="I9" s="57" t="str">
        <f t="shared" si="1"/>
        <v/>
      </c>
      <c r="J9" s="57" t="str">
        <f t="shared" si="2"/>
        <v/>
      </c>
      <c r="K9" s="56"/>
    </row>
    <row r="10" spans="1:11" s="24" customFormat="1" ht="29.25" customHeight="1">
      <c r="A10" s="44"/>
      <c r="B10" s="26"/>
      <c r="C10" s="51" t="str">
        <f>IFERROR(VLOOKUP(B10,Data!$A$4:$C$33,2,FALSE),"")</f>
        <v/>
      </c>
      <c r="D10" s="52" t="str">
        <f>IFERROR(VLOOKUP(B10,Data!$A$4:$C$33,3,FALSE),"")</f>
        <v/>
      </c>
      <c r="E10" s="27"/>
      <c r="F10" s="53" t="str">
        <f t="shared" si="0"/>
        <v/>
      </c>
      <c r="G10" s="75"/>
      <c r="H10" s="75"/>
      <c r="I10" s="57" t="str">
        <f t="shared" si="1"/>
        <v/>
      </c>
      <c r="J10" s="57" t="str">
        <f t="shared" si="2"/>
        <v/>
      </c>
      <c r="K10" s="56"/>
    </row>
    <row r="11" spans="1:11" s="24" customFormat="1" ht="27">
      <c r="A11" s="44"/>
      <c r="B11" s="26"/>
      <c r="C11" s="51" t="str">
        <f>IFERROR(VLOOKUP(B11,Data!$A$4:$C$33,2,FALSE),"")</f>
        <v/>
      </c>
      <c r="D11" s="52" t="str">
        <f>IFERROR(VLOOKUP(B11,Data!$A$4:$C$33,3,FALSE),"")</f>
        <v/>
      </c>
      <c r="E11" s="27"/>
      <c r="F11" s="53" t="str">
        <f t="shared" si="0"/>
        <v/>
      </c>
      <c r="G11" s="18"/>
      <c r="H11" s="18"/>
      <c r="I11" s="57" t="str">
        <f t="shared" si="1"/>
        <v/>
      </c>
      <c r="J11" s="57" t="str">
        <f t="shared" si="2"/>
        <v/>
      </c>
      <c r="K11" s="56"/>
    </row>
    <row r="12" spans="1:11" s="24" customFormat="1" ht="28.5" customHeight="1">
      <c r="A12" s="44"/>
      <c r="B12" s="26"/>
      <c r="C12" s="51" t="str">
        <f>IFERROR(VLOOKUP(B12,Data!$A$4:$C$33,2,FALSE),"")</f>
        <v/>
      </c>
      <c r="D12" s="52" t="str">
        <f>IFERROR(VLOOKUP(B12,Data!$A$4:$C$33,3,FALSE),"")</f>
        <v/>
      </c>
      <c r="E12" s="27"/>
      <c r="F12" s="53" t="str">
        <f t="shared" si="0"/>
        <v/>
      </c>
      <c r="G12" s="19"/>
      <c r="H12" s="19"/>
      <c r="I12" s="57" t="str">
        <f>IF(OR(D12="", E12=""),"", D12*E12)</f>
        <v/>
      </c>
      <c r="J12" s="57" t="str">
        <f t="shared" si="2"/>
        <v/>
      </c>
      <c r="K12" s="56"/>
    </row>
    <row r="13" spans="1:11" s="24" customFormat="1" ht="33" customHeight="1">
      <c r="A13" s="45"/>
      <c r="B13" s="28"/>
      <c r="C13" s="51" t="str">
        <f>IFERROR(VLOOKUP(B13,Data!$A$4:$C$33,2,FALSE),"")</f>
        <v/>
      </c>
      <c r="D13" s="52" t="str">
        <f>IFERROR(VLOOKUP(B13,Data!$A$4:$C$33,3,FALSE),"")</f>
        <v/>
      </c>
      <c r="E13" s="29"/>
      <c r="F13" s="53" t="str">
        <f t="shared" si="0"/>
        <v/>
      </c>
      <c r="G13" s="19"/>
      <c r="H13" s="19"/>
      <c r="I13" s="57" t="str">
        <f>IF(OR(D13="", E13=""),"", D13*E13)</f>
        <v/>
      </c>
      <c r="J13" s="57" t="str">
        <f t="shared" si="2"/>
        <v/>
      </c>
      <c r="K13" s="56"/>
    </row>
    <row r="14" spans="1:11" s="24" customFormat="1" ht="34.5" customHeight="1">
      <c r="A14"/>
      <c r="B14" s="78"/>
      <c r="C14" s="77" t="s">
        <v>134</v>
      </c>
      <c r="D14" s="77"/>
      <c r="F14" s="20" t="str">
        <f t="shared" si="0"/>
        <v/>
      </c>
      <c r="G14" s="19"/>
      <c r="H14" s="19"/>
      <c r="I14" s="57"/>
      <c r="J14" s="58"/>
      <c r="K14" s="56"/>
    </row>
    <row r="15" spans="1:11" s="24" customFormat="1" ht="42.75" customHeight="1">
      <c r="A15" s="55" t="s">
        <v>136</v>
      </c>
      <c r="B15" s="30"/>
      <c r="C15" s="60" t="str">
        <f>IFERROR(VLOOKUP(B15,Data!$A$34:$C$63,2,FALSE),"")</f>
        <v/>
      </c>
      <c r="D15" s="61" t="str">
        <f>IFERROR(VLOOKUP(B15,Data!$A$34:$C$63,3,FALSE),"")</f>
        <v/>
      </c>
      <c r="E15" s="31"/>
      <c r="F15" s="53" t="str">
        <f t="shared" si="0"/>
        <v/>
      </c>
      <c r="G15" s="19"/>
      <c r="H15" s="19"/>
      <c r="I15" s="57" t="str">
        <f>IF(OR(D15="", E15=""),"", D15*E15)</f>
        <v/>
      </c>
      <c r="J15" s="59" t="str">
        <f t="shared" ref="J15:J21" si="3">IF(ISBLANK(E15),"",D15)</f>
        <v/>
      </c>
      <c r="K15" s="56"/>
    </row>
    <row r="16" spans="1:11" s="24" customFormat="1" ht="24.75" customHeight="1">
      <c r="A16" s="47"/>
      <c r="B16" s="30"/>
      <c r="C16" s="60" t="str">
        <f>IFERROR(VLOOKUP(B16,Data!$A$34:$C$63,2,FALSE),"")</f>
        <v/>
      </c>
      <c r="D16" s="61" t="str">
        <f>IFERROR(VLOOKUP(B16,Data!$A$34:$C$63,3,FALSE),"")</f>
        <v/>
      </c>
      <c r="E16" s="31"/>
      <c r="F16" s="53" t="str">
        <f t="shared" si="0"/>
        <v/>
      </c>
      <c r="G16" s="74" t="s">
        <v>12</v>
      </c>
      <c r="H16" s="75"/>
      <c r="I16" s="57" t="str">
        <f t="shared" ref="I16:I21" si="4">IF(OR(D16="", E16=""),"", D16*E16)</f>
        <v/>
      </c>
      <c r="J16" s="59" t="str">
        <f t="shared" si="3"/>
        <v/>
      </c>
      <c r="K16" s="56"/>
    </row>
    <row r="17" spans="1:11" s="24" customFormat="1" ht="23.25" customHeight="1">
      <c r="A17" s="47"/>
      <c r="B17" s="30"/>
      <c r="C17" s="60" t="str">
        <f>IFERROR(VLOOKUP(B17,Data!$A$34:$C$63,2,FALSE),"")</f>
        <v/>
      </c>
      <c r="D17" s="61" t="str">
        <f>IFERROR(VLOOKUP(B17,Data!$A$34:$C$63,3,FALSE),"")</f>
        <v/>
      </c>
      <c r="E17" s="31"/>
      <c r="F17" s="53" t="str">
        <f t="shared" si="0"/>
        <v/>
      </c>
      <c r="G17" s="76" t="str">
        <f>IFERROR(SUM(I15:I21)/SUM(J15:J21), "")</f>
        <v/>
      </c>
      <c r="H17" s="75"/>
      <c r="I17" s="57" t="str">
        <f t="shared" si="4"/>
        <v/>
      </c>
      <c r="J17" s="59" t="str">
        <f t="shared" si="3"/>
        <v/>
      </c>
      <c r="K17" s="56"/>
    </row>
    <row r="18" spans="1:11" s="24" customFormat="1" ht="21.75" customHeight="1">
      <c r="A18" s="47"/>
      <c r="B18" s="30"/>
      <c r="C18" s="60" t="str">
        <f>IFERROR(VLOOKUP(B18,Data!$A$34:$C$63,2,FALSE),"")</f>
        <v/>
      </c>
      <c r="D18" s="61" t="str">
        <f>IFERROR(VLOOKUP(B18,Data!$A$34:$C$63,3,FALSE),"")</f>
        <v/>
      </c>
      <c r="E18" s="31"/>
      <c r="F18" s="53" t="str">
        <f t="shared" si="0"/>
        <v/>
      </c>
      <c r="G18" s="75"/>
      <c r="H18" s="75"/>
      <c r="I18" s="57" t="str">
        <f t="shared" si="4"/>
        <v/>
      </c>
      <c r="J18" s="59" t="str">
        <f t="shared" si="3"/>
        <v/>
      </c>
      <c r="K18" s="56"/>
    </row>
    <row r="19" spans="1:11" s="24" customFormat="1" ht="24" customHeight="1">
      <c r="A19" s="47"/>
      <c r="B19" s="30"/>
      <c r="C19" s="60" t="str">
        <f>IFERROR(VLOOKUP(B19,Data!$A$34:$C$63,2,FALSE),"")</f>
        <v/>
      </c>
      <c r="D19" s="61" t="str">
        <f>IFERROR(VLOOKUP(B19,Data!$A$34:$C$63,3,FALSE),"")</f>
        <v/>
      </c>
      <c r="E19" s="31"/>
      <c r="F19" s="53" t="str">
        <f t="shared" si="0"/>
        <v/>
      </c>
      <c r="G19"/>
      <c r="H19"/>
      <c r="I19" s="57" t="str">
        <f t="shared" si="4"/>
        <v/>
      </c>
      <c r="J19" s="59" t="str">
        <f t="shared" si="3"/>
        <v/>
      </c>
      <c r="K19" s="56"/>
    </row>
    <row r="20" spans="1:11" s="24" customFormat="1" ht="20.25" customHeight="1">
      <c r="A20" s="46"/>
      <c r="B20" s="30"/>
      <c r="C20" s="60" t="str">
        <f>IFERROR(VLOOKUP(B20,Data!$A$34:$C$63,2,FALSE),"")</f>
        <v/>
      </c>
      <c r="D20" s="61" t="str">
        <f>IFERROR(VLOOKUP(B20,Data!$A$34:$C$63,3,FALSE),"")</f>
        <v/>
      </c>
      <c r="E20" s="31"/>
      <c r="F20" s="53" t="str">
        <f t="shared" si="0"/>
        <v/>
      </c>
      <c r="G20"/>
      <c r="H20"/>
      <c r="I20" s="57" t="str">
        <f t="shared" si="4"/>
        <v/>
      </c>
      <c r="J20" s="59" t="str">
        <f t="shared" si="3"/>
        <v/>
      </c>
      <c r="K20" s="56"/>
    </row>
    <row r="21" spans="1:11" s="24" customFormat="1" ht="20.25" customHeight="1">
      <c r="A21" s="46"/>
      <c r="B21" s="30"/>
      <c r="C21" s="62" t="str">
        <f>IFERROR(VLOOKUP(B21,Data!$A$34:$C$63,2,FALSE),"")</f>
        <v/>
      </c>
      <c r="D21" s="63" t="str">
        <f>IFERROR(VLOOKUP(B21,Data!$A$34:$C$63,3,FALSE),"")</f>
        <v/>
      </c>
      <c r="E21" s="31"/>
      <c r="F21" s="54" t="str">
        <f t="shared" si="0"/>
        <v/>
      </c>
      <c r="G21"/>
      <c r="H21"/>
      <c r="I21" s="57" t="str">
        <f t="shared" si="4"/>
        <v/>
      </c>
      <c r="J21" s="59" t="str">
        <f t="shared" si="3"/>
        <v/>
      </c>
      <c r="K21" s="56"/>
    </row>
    <row r="22" spans="1:11" ht="12.75">
      <c r="A22" s="40"/>
      <c r="B22" s="40"/>
      <c r="C22" s="40"/>
      <c r="D22" s="40"/>
      <c r="E22" s="40"/>
      <c r="F22" s="40"/>
      <c r="G22" s="40"/>
      <c r="H22" s="40"/>
      <c r="I22" s="48"/>
    </row>
    <row r="23" spans="1:11" ht="22.5" customHeight="1">
      <c r="A23" s="49"/>
      <c r="B23" s="67" t="s">
        <v>13</v>
      </c>
      <c r="C23" s="68"/>
      <c r="D23" s="50"/>
      <c r="E23" s="50"/>
      <c r="F23" s="40"/>
      <c r="G23" s="40"/>
      <c r="H23" s="40"/>
      <c r="I23" s="48"/>
    </row>
    <row r="24" spans="1:11" ht="12.75">
      <c r="A24" s="40"/>
      <c r="B24" s="69" t="s">
        <v>14</v>
      </c>
      <c r="C24" s="68"/>
      <c r="D24" s="68"/>
      <c r="E24" s="68"/>
      <c r="F24" s="40"/>
      <c r="G24" s="70"/>
      <c r="H24" s="68"/>
      <c r="I24" s="48"/>
    </row>
    <row r="25" spans="1:11" ht="12.75">
      <c r="A25" s="40"/>
      <c r="B25" s="68"/>
      <c r="C25" s="68"/>
      <c r="D25" s="68"/>
      <c r="E25" s="68"/>
      <c r="F25" s="40"/>
      <c r="G25" s="68"/>
      <c r="H25" s="68"/>
      <c r="I25" s="48"/>
    </row>
    <row r="26" spans="1:11" ht="12.75">
      <c r="A26" s="40"/>
      <c r="B26" s="68"/>
      <c r="C26" s="68"/>
      <c r="D26" s="68"/>
      <c r="E26" s="68"/>
      <c r="F26" s="40"/>
      <c r="G26" s="68"/>
      <c r="H26" s="68"/>
      <c r="I26" s="48"/>
    </row>
  </sheetData>
  <sheetProtection algorithmName="SHA-512" hashValue="Xwx2MA52HahkYLLG/TiV36UVD7g/iWpWbhIDUXQB1K7pwhDto9dcxu9bPbr3+Zqc5zRSAsVnIogsFCX5nhmfaA==" saltValue="Ou6BHy3WTB2xIspKQSo0cg==" spinCount="100000" sheet="1" selectLockedCells="1"/>
  <mergeCells count="11">
    <mergeCell ref="C1:E1"/>
    <mergeCell ref="B23:C23"/>
    <mergeCell ref="B24:E26"/>
    <mergeCell ref="G24:H26"/>
    <mergeCell ref="C2:E2"/>
    <mergeCell ref="B6:E6"/>
    <mergeCell ref="G8:H8"/>
    <mergeCell ref="G9:H10"/>
    <mergeCell ref="G16:H16"/>
    <mergeCell ref="G17:H18"/>
    <mergeCell ref="C14:D14"/>
  </mergeCells>
  <dataValidations count="3">
    <dataValidation type="decimal" allowBlank="1" showDropDown="1" showErrorMessage="1" sqref="E15:E21" xr:uid="{00000000-0002-0000-0000-000001000000}">
      <formula1>0</formula1>
      <formula2>100</formula2>
    </dataValidation>
    <dataValidation type="decimal" allowBlank="1" showDropDown="1" sqref="D7:D13" xr:uid="{00000000-0002-0000-0000-000002000000}">
      <formula1>0</formula1>
      <formula2>4</formula2>
    </dataValidation>
    <dataValidation type="decimal" allowBlank="1" showDropDown="1" showInputMessage="1" showErrorMessage="1" prompt="Enter a Score between 0 and 100" sqref="E7:E13" xr:uid="{00000000-0002-0000-0000-000004000000}">
      <formula1>0</formula1>
      <formula2>100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0000000}">
          <x14:formula1>
            <xm:f>Data!$A$34:$A$63</xm:f>
          </x14:formula1>
          <xm:sqref>B15:B21</xm:sqref>
        </x14:dataValidation>
        <x14:dataValidation type="list" allowBlank="1" showErrorMessage="1" xr:uid="{00000000-0002-0000-0000-000003000000}">
          <x14:formula1>
            <xm:f>Data!$A$4:$A$32</xm:f>
          </x14:formula1>
          <xm:sqref>B7:B13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  <outlinePr summaryBelow="0" summaryRight="0"/>
  </sheetPr>
  <dimension ref="A2:Z63"/>
  <sheetViews>
    <sheetView workbookViewId="0">
      <selection activeCell="A10" sqref="A10"/>
    </sheetView>
  </sheetViews>
  <sheetFormatPr defaultColWidth="12.5703125" defaultRowHeight="15.75" customHeight="1"/>
  <cols>
    <col min="1" max="1" width="29.5703125" customWidth="1"/>
    <col min="2" max="2" width="39.85546875" customWidth="1"/>
    <col min="3" max="3" width="16.28515625" customWidth="1"/>
    <col min="4" max="4" width="17.140625" customWidth="1"/>
  </cols>
  <sheetData>
    <row r="2" spans="1:26" ht="15.75" customHeight="1">
      <c r="A2" s="4" t="s">
        <v>15</v>
      </c>
      <c r="B2" s="4" t="s">
        <v>2</v>
      </c>
      <c r="C2" s="4" t="s">
        <v>3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2.75">
      <c r="A3" s="6" t="s">
        <v>16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2.75">
      <c r="A4" s="7" t="s">
        <v>8</v>
      </c>
      <c r="B4" s="8" t="s">
        <v>17</v>
      </c>
      <c r="C4" s="9">
        <v>4</v>
      </c>
    </row>
    <row r="5" spans="1:26" ht="12.75">
      <c r="A5" s="2" t="s">
        <v>10</v>
      </c>
      <c r="B5" s="10" t="s">
        <v>18</v>
      </c>
      <c r="C5" s="3">
        <v>4</v>
      </c>
    </row>
    <row r="6" spans="1:26" ht="12.75">
      <c r="A6" s="2" t="s">
        <v>19</v>
      </c>
      <c r="B6" s="10" t="s">
        <v>20</v>
      </c>
      <c r="C6" s="3">
        <v>2</v>
      </c>
    </row>
    <row r="7" spans="1:26" ht="12.75">
      <c r="A7" s="2" t="s">
        <v>21</v>
      </c>
      <c r="B7" s="10" t="s">
        <v>22</v>
      </c>
      <c r="C7" s="3">
        <v>2</v>
      </c>
    </row>
    <row r="8" spans="1:26" ht="19.5">
      <c r="A8" s="2" t="s">
        <v>23</v>
      </c>
      <c r="B8" s="10" t="s">
        <v>24</v>
      </c>
      <c r="C8" s="3">
        <v>2</v>
      </c>
      <c r="E8" s="1"/>
    </row>
    <row r="9" spans="1:26" ht="12.75">
      <c r="A9" s="2" t="s">
        <v>25</v>
      </c>
      <c r="B9" s="10" t="s">
        <v>26</v>
      </c>
      <c r="C9" s="3">
        <v>2</v>
      </c>
    </row>
    <row r="10" spans="1:26" ht="12.75">
      <c r="A10" s="2" t="s">
        <v>27</v>
      </c>
      <c r="B10" s="10" t="s">
        <v>28</v>
      </c>
      <c r="C10" s="3">
        <v>2</v>
      </c>
    </row>
    <row r="11" spans="1:26" ht="12.75">
      <c r="A11" s="2" t="s">
        <v>29</v>
      </c>
      <c r="B11" s="10" t="s">
        <v>30</v>
      </c>
      <c r="C11" s="3">
        <v>2</v>
      </c>
      <c r="E11" s="11" t="s">
        <v>31</v>
      </c>
    </row>
    <row r="12" spans="1:26" ht="12.75">
      <c r="A12" s="2" t="s">
        <v>32</v>
      </c>
      <c r="B12" s="10" t="s">
        <v>33</v>
      </c>
      <c r="C12" s="3">
        <v>4</v>
      </c>
    </row>
    <row r="13" spans="1:26" ht="12.75">
      <c r="A13" s="2" t="s">
        <v>34</v>
      </c>
      <c r="B13" s="10" t="s">
        <v>35</v>
      </c>
      <c r="C13" s="3">
        <v>3</v>
      </c>
    </row>
    <row r="14" spans="1:26" ht="12.75">
      <c r="A14" s="2" t="s">
        <v>36</v>
      </c>
      <c r="B14" s="10" t="s">
        <v>37</v>
      </c>
      <c r="C14" s="3">
        <v>2</v>
      </c>
    </row>
    <row r="15" spans="1:26" ht="12.75">
      <c r="A15" s="2" t="s">
        <v>38</v>
      </c>
      <c r="B15" s="10" t="s">
        <v>39</v>
      </c>
      <c r="C15" s="3">
        <v>2</v>
      </c>
    </row>
    <row r="16" spans="1:26" ht="12.75">
      <c r="A16" s="2" t="s">
        <v>40</v>
      </c>
      <c r="B16" s="10" t="s">
        <v>41</v>
      </c>
      <c r="C16" s="3">
        <v>2</v>
      </c>
    </row>
    <row r="17" spans="1:3" ht="12.75">
      <c r="A17" s="2" t="s">
        <v>42</v>
      </c>
      <c r="B17" s="10" t="s">
        <v>43</v>
      </c>
      <c r="C17" s="3">
        <v>2</v>
      </c>
    </row>
    <row r="18" spans="1:3" ht="12.75">
      <c r="A18" s="2" t="s">
        <v>44</v>
      </c>
      <c r="B18" s="10" t="s">
        <v>45</v>
      </c>
      <c r="C18" s="3">
        <v>2</v>
      </c>
    </row>
    <row r="19" spans="1:3" ht="12.75">
      <c r="A19" s="2" t="s">
        <v>46</v>
      </c>
      <c r="B19" s="10" t="s">
        <v>47</v>
      </c>
      <c r="C19" s="3">
        <v>2</v>
      </c>
    </row>
    <row r="20" spans="1:3" ht="12.75">
      <c r="A20" s="2" t="s">
        <v>48</v>
      </c>
      <c r="B20" s="10" t="s">
        <v>49</v>
      </c>
      <c r="C20" s="3">
        <v>2</v>
      </c>
    </row>
    <row r="21" spans="1:3" ht="12.75">
      <c r="A21" s="2" t="s">
        <v>50</v>
      </c>
      <c r="B21" s="10" t="s">
        <v>51</v>
      </c>
      <c r="C21" s="3">
        <v>4</v>
      </c>
    </row>
    <row r="22" spans="1:3" ht="12.75">
      <c r="A22" s="2" t="s">
        <v>52</v>
      </c>
      <c r="B22" s="10" t="s">
        <v>53</v>
      </c>
      <c r="C22" s="3">
        <v>2</v>
      </c>
    </row>
    <row r="23" spans="1:3" ht="12.75">
      <c r="A23" s="2" t="s">
        <v>54</v>
      </c>
      <c r="B23" s="10" t="s">
        <v>55</v>
      </c>
      <c r="C23" s="3">
        <v>2</v>
      </c>
    </row>
    <row r="24" spans="1:3" ht="12.75">
      <c r="A24" s="2" t="s">
        <v>56</v>
      </c>
      <c r="B24" s="10" t="s">
        <v>57</v>
      </c>
      <c r="C24" s="3">
        <v>2</v>
      </c>
    </row>
    <row r="25" spans="1:3" ht="12.75">
      <c r="A25" s="2" t="s">
        <v>58</v>
      </c>
      <c r="B25" s="10" t="s">
        <v>59</v>
      </c>
      <c r="C25" s="3">
        <v>2</v>
      </c>
    </row>
    <row r="26" spans="1:3" ht="12.75">
      <c r="A26" s="2" t="s">
        <v>60</v>
      </c>
      <c r="B26" s="10" t="s">
        <v>61</v>
      </c>
      <c r="C26" s="3">
        <v>2</v>
      </c>
    </row>
    <row r="27" spans="1:3" ht="12.75">
      <c r="A27" s="2" t="s">
        <v>62</v>
      </c>
      <c r="B27" s="10" t="s">
        <v>63</v>
      </c>
      <c r="C27" s="3">
        <v>2</v>
      </c>
    </row>
    <row r="28" spans="1:3" ht="12.75">
      <c r="A28" s="2" t="s">
        <v>64</v>
      </c>
      <c r="B28" s="10" t="s">
        <v>65</v>
      </c>
      <c r="C28" s="3">
        <v>2</v>
      </c>
    </row>
    <row r="29" spans="1:3" ht="12.75">
      <c r="A29" s="2" t="s">
        <v>66</v>
      </c>
      <c r="B29" s="10" t="s">
        <v>67</v>
      </c>
      <c r="C29" s="3">
        <v>2</v>
      </c>
    </row>
    <row r="30" spans="1:3" ht="12.75">
      <c r="A30" s="2" t="s">
        <v>68</v>
      </c>
      <c r="B30" s="10" t="s">
        <v>69</v>
      </c>
      <c r="C30" s="3">
        <v>2</v>
      </c>
    </row>
    <row r="31" spans="1:3" ht="12.75">
      <c r="A31" s="2" t="s">
        <v>70</v>
      </c>
      <c r="B31" s="10" t="s">
        <v>71</v>
      </c>
      <c r="C31" s="3">
        <v>2</v>
      </c>
    </row>
    <row r="32" spans="1:3" ht="12.75">
      <c r="A32" s="12" t="s">
        <v>72</v>
      </c>
      <c r="B32" s="13" t="s">
        <v>73</v>
      </c>
      <c r="C32" s="14">
        <v>2</v>
      </c>
    </row>
    <row r="33" spans="1:3" ht="12.75">
      <c r="A33" s="15" t="s">
        <v>74</v>
      </c>
      <c r="B33" s="2"/>
    </row>
    <row r="34" spans="1:3" ht="12.75">
      <c r="A34" s="7" t="s">
        <v>75</v>
      </c>
      <c r="B34" s="8" t="s">
        <v>76</v>
      </c>
      <c r="C34" s="9">
        <v>4</v>
      </c>
    </row>
    <row r="35" spans="1:3" ht="12.75">
      <c r="A35" s="2" t="s">
        <v>77</v>
      </c>
      <c r="B35" s="10" t="s">
        <v>78</v>
      </c>
      <c r="C35" s="3">
        <v>4</v>
      </c>
    </row>
    <row r="36" spans="1:3" ht="12.75">
      <c r="A36" s="2" t="s">
        <v>79</v>
      </c>
      <c r="B36" s="10" t="s">
        <v>80</v>
      </c>
      <c r="C36" s="3">
        <v>2</v>
      </c>
    </row>
    <row r="37" spans="1:3" ht="12.75">
      <c r="A37" s="2" t="s">
        <v>81</v>
      </c>
      <c r="B37" s="10" t="s">
        <v>82</v>
      </c>
      <c r="C37" s="3">
        <v>2</v>
      </c>
    </row>
    <row r="38" spans="1:3" ht="12.75">
      <c r="A38" s="2" t="s">
        <v>83</v>
      </c>
      <c r="B38" s="10" t="s">
        <v>84</v>
      </c>
      <c r="C38" s="3">
        <v>2</v>
      </c>
    </row>
    <row r="39" spans="1:3" ht="12.75">
      <c r="A39" s="2" t="s">
        <v>85</v>
      </c>
      <c r="B39" s="10" t="s">
        <v>86</v>
      </c>
      <c r="C39" s="3">
        <v>2</v>
      </c>
    </row>
    <row r="40" spans="1:3" ht="12.75">
      <c r="A40" s="2" t="s">
        <v>11</v>
      </c>
      <c r="B40" s="10" t="s">
        <v>87</v>
      </c>
      <c r="C40" s="3">
        <v>3</v>
      </c>
    </row>
    <row r="41" spans="1:3" ht="12.75">
      <c r="A41" s="2" t="s">
        <v>88</v>
      </c>
      <c r="B41" s="10" t="s">
        <v>89</v>
      </c>
      <c r="C41" s="3">
        <v>2</v>
      </c>
    </row>
    <row r="42" spans="1:3" ht="12.75">
      <c r="A42" s="2" t="s">
        <v>90</v>
      </c>
      <c r="B42" s="10" t="s">
        <v>91</v>
      </c>
      <c r="C42" s="3">
        <v>3</v>
      </c>
    </row>
    <row r="43" spans="1:3" ht="12.75">
      <c r="A43" s="2" t="s">
        <v>92</v>
      </c>
      <c r="B43" s="10" t="s">
        <v>93</v>
      </c>
      <c r="C43" s="3">
        <v>2</v>
      </c>
    </row>
    <row r="44" spans="1:3" ht="12.75">
      <c r="A44" s="2" t="s">
        <v>94</v>
      </c>
      <c r="B44" s="10" t="s">
        <v>95</v>
      </c>
      <c r="C44" s="3">
        <v>3</v>
      </c>
    </row>
    <row r="45" spans="1:3" ht="12.75">
      <c r="A45" s="2" t="s">
        <v>96</v>
      </c>
      <c r="B45" s="10" t="s">
        <v>97</v>
      </c>
      <c r="C45" s="3">
        <v>2</v>
      </c>
    </row>
    <row r="46" spans="1:3" ht="12.75">
      <c r="A46" s="2" t="s">
        <v>98</v>
      </c>
      <c r="B46" s="10" t="s">
        <v>99</v>
      </c>
      <c r="C46" s="3">
        <v>2</v>
      </c>
    </row>
    <row r="47" spans="1:3" ht="12.75">
      <c r="A47" s="2" t="s">
        <v>100</v>
      </c>
      <c r="B47" s="10" t="s">
        <v>101</v>
      </c>
      <c r="C47" s="3">
        <v>3</v>
      </c>
    </row>
    <row r="48" spans="1:3" ht="12.75">
      <c r="A48" s="2" t="s">
        <v>102</v>
      </c>
      <c r="B48" s="10" t="s">
        <v>103</v>
      </c>
      <c r="C48" s="3">
        <v>2</v>
      </c>
    </row>
    <row r="49" spans="1:3" ht="12.75">
      <c r="A49" s="2" t="s">
        <v>104</v>
      </c>
      <c r="B49" s="10" t="s">
        <v>105</v>
      </c>
      <c r="C49" s="3">
        <v>3</v>
      </c>
    </row>
    <row r="50" spans="1:3" ht="12.75">
      <c r="A50" s="2" t="s">
        <v>106</v>
      </c>
      <c r="B50" s="10" t="s">
        <v>107</v>
      </c>
      <c r="C50" s="3">
        <v>2</v>
      </c>
    </row>
    <row r="51" spans="1:3" ht="12.75">
      <c r="A51" s="2" t="s">
        <v>108</v>
      </c>
      <c r="B51" s="10" t="s">
        <v>109</v>
      </c>
      <c r="C51" s="3">
        <v>3</v>
      </c>
    </row>
    <row r="52" spans="1:3" ht="12.75">
      <c r="A52" s="2" t="s">
        <v>110</v>
      </c>
      <c r="B52" s="10" t="s">
        <v>111</v>
      </c>
      <c r="C52" s="3">
        <v>2</v>
      </c>
    </row>
    <row r="53" spans="1:3" ht="12.75">
      <c r="A53" s="2" t="s">
        <v>112</v>
      </c>
      <c r="B53" s="10" t="s">
        <v>113</v>
      </c>
      <c r="C53" s="3">
        <v>2</v>
      </c>
    </row>
    <row r="54" spans="1:3" ht="12.75">
      <c r="A54" s="2" t="s">
        <v>114</v>
      </c>
      <c r="B54" s="10" t="s">
        <v>115</v>
      </c>
      <c r="C54" s="3">
        <v>3</v>
      </c>
    </row>
    <row r="55" spans="1:3" ht="12.75">
      <c r="A55" s="2" t="s">
        <v>116</v>
      </c>
      <c r="B55" s="10" t="s">
        <v>117</v>
      </c>
      <c r="C55" s="3">
        <v>2</v>
      </c>
    </row>
    <row r="56" spans="1:3" ht="12.75">
      <c r="A56" s="2" t="s">
        <v>118</v>
      </c>
      <c r="B56" s="10" t="s">
        <v>119</v>
      </c>
      <c r="C56" s="3">
        <v>3</v>
      </c>
    </row>
    <row r="57" spans="1:3" ht="12.75">
      <c r="A57" s="2" t="s">
        <v>120</v>
      </c>
      <c r="B57" s="10" t="s">
        <v>121</v>
      </c>
      <c r="C57" s="3">
        <v>4</v>
      </c>
    </row>
    <row r="58" spans="1:3" ht="12.75">
      <c r="A58" s="2" t="s">
        <v>122</v>
      </c>
      <c r="B58" s="10" t="s">
        <v>123</v>
      </c>
      <c r="C58" s="3">
        <v>3</v>
      </c>
    </row>
    <row r="59" spans="1:3" ht="12.75">
      <c r="A59" s="2" t="s">
        <v>124</v>
      </c>
      <c r="B59" s="10" t="s">
        <v>125</v>
      </c>
      <c r="C59" s="3">
        <v>3</v>
      </c>
    </row>
    <row r="60" spans="1:3" ht="12.75">
      <c r="A60" s="2" t="s">
        <v>126</v>
      </c>
      <c r="B60" s="10" t="s">
        <v>127</v>
      </c>
      <c r="C60" s="3">
        <v>2</v>
      </c>
    </row>
    <row r="61" spans="1:3" ht="12.75">
      <c r="A61" s="2" t="s">
        <v>128</v>
      </c>
      <c r="B61" s="10" t="s">
        <v>129</v>
      </c>
      <c r="C61" s="3">
        <v>2</v>
      </c>
    </row>
    <row r="62" spans="1:3" ht="12.75">
      <c r="A62" s="2" t="s">
        <v>130</v>
      </c>
      <c r="B62" s="10" t="s">
        <v>131</v>
      </c>
      <c r="C62" s="3">
        <v>3</v>
      </c>
    </row>
    <row r="63" spans="1:3" ht="12.75">
      <c r="A63" s="12" t="s">
        <v>132</v>
      </c>
      <c r="B63" s="13" t="s">
        <v>133</v>
      </c>
      <c r="C63" s="14">
        <v>3</v>
      </c>
    </row>
  </sheetData>
  <sheetProtection algorithmName="SHA-512" hashValue="5FSqwJpQm3aJCS53Gyiz1ZibHchxrSvHOB5AxqCkg+cwmdf+2WahoUbkESQe6tPb9nQuqNduXLQ+yoIIvR2UGg==" saltValue="tgUwDJieXsiXUfSTuWeHoA==" spinCount="100000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Calculator</vt:lpstr>
      <vt:lpstr>Data</vt:lpstr>
      <vt:lpstr>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MyWeightedAverageCalc</dc:title>
  <dc:subject>All</dc:subject>
  <dc:creator>Ezra Manuel-Mosi; Adeyemi Adebisi</dc:creator>
  <cp:lastModifiedBy>Ezra Manuel-Mosi</cp:lastModifiedBy>
  <dcterms:created xsi:type="dcterms:W3CDTF">2023-09-24T10:45:40Z</dcterms:created>
  <dcterms:modified xsi:type="dcterms:W3CDTF">2023-09-24T11:20:56Z</dcterms:modified>
  <cp:version>1.00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2023-09-24T08:52:52Z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c0356ce8-e03c-4d4b-baab-2e71275dcab7</vt:lpwstr>
  </property>
  <property fmtid="{D5CDD505-2E9C-101B-9397-08002B2CF9AE}" pid="7" name="MSIP_Label_defa4170-0d19-0005-0004-bc88714345d2_ActionId">
    <vt:lpwstr>ee8c8e52-aebc-4841-8b80-1833d24a4260</vt:lpwstr>
  </property>
  <property fmtid="{D5CDD505-2E9C-101B-9397-08002B2CF9AE}" pid="8" name="MSIP_Label_defa4170-0d19-0005-0004-bc88714345d2_ContentBits">
    <vt:lpwstr>0</vt:lpwstr>
  </property>
</Properties>
</file>